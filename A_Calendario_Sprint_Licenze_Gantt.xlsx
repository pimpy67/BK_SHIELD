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Calendario Sprint" sheetId="2" state="visible" r:id="rId4"/>
    <sheet name="Sintesi Spri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<sst xmlns="http://schemas.openxmlformats.org/spreadsheetml/2006/main" count="242" uniqueCount="165">
  <si>
    <t xml:space="preserve">Gantt – Servizio Gestione Licenze  |  Durata: 1 mese (18 giorni lavorativi)</t>
  </si>
  <si>
    <t xml:space="preserve">Codice</t>
  </si>
  <si>
    <t xml:space="preserve">Descrizione TO DO</t>
  </si>
  <si>
    <t xml:space="preserve">Assegnato</t>
  </si>
  <si>
    <t xml:space="preserve">Giorni (gg)</t>
  </si>
  <si>
    <t xml:space="preserve">Settimana 1
(mer–ven)</t>
  </si>
  <si>
    <t xml:space="preserve">Settimana 2</t>
  </si>
  <si>
    <t xml:space="preserve">Settimana 3</t>
  </si>
  <si>
    <t xml:space="preserve">Settimana 4</t>
  </si>
  <si>
    <t xml:space="preserve">TD-01</t>
  </si>
  <si>
    <t xml:space="preserve">Setup infrastruttura Node.js + Express + SQLite</t>
  </si>
  <si>
    <t xml:space="preserve">Andrea</t>
  </si>
  <si>
    <t xml:space="preserve">TD-02</t>
  </si>
  <si>
    <t xml:space="preserve">Schema DB + migrazioni</t>
  </si>
  <si>
    <t xml:space="preserve">Desiree</t>
  </si>
  <si>
    <t xml:space="preserve">TD-03</t>
  </si>
  <si>
    <t xml:space="preserve">Auth fornitore JWT jsonwebtoken (F1, F2)</t>
  </si>
  <si>
    <t xml:space="preserve">TD-04</t>
  </si>
  <si>
    <t xml:space="preserve">Registrazione prodotti (F6)</t>
  </si>
  <si>
    <t xml:space="preserve">TD-05</t>
  </si>
  <si>
    <t xml:space="preserve">Registrazione cliente + OTP + VIES + AES (C1, C2, C3)</t>
  </si>
  <si>
    <t xml:space="preserve">TD-06</t>
  </si>
  <si>
    <t xml:space="preserve">Verifica licenza + poll messaggi (C4, C5, C6)</t>
  </si>
  <si>
    <t xml:space="preserve">TD-07</t>
  </si>
  <si>
    <t xml:space="preserve">Sincronizzazione fornitore (F3, F4, O1)</t>
  </si>
  <si>
    <t xml:space="preserve">TD-08</t>
  </si>
  <si>
    <t xml:space="preserve">Attivazione licenze a pagamento (F5)</t>
  </si>
  <si>
    <t xml:space="preserve">TD-09</t>
  </si>
  <si>
    <t xml:space="preserve">Licenza Provvisoria (F7, F8)</t>
  </si>
  <si>
    <t xml:space="preserve">TD-10</t>
  </si>
  <si>
    <t xml:space="preserve">Job schedulati node-cron</t>
  </si>
  <si>
    <t xml:space="preserve">TD-11</t>
  </si>
  <si>
    <t xml:space="preserve">Sistema messaggi + template Handlebars</t>
  </si>
  <si>
    <t xml:space="preserve">TD-12</t>
  </si>
  <si>
    <t xml:space="preserve">Test Jest, bugfix, Swagger docs</t>
  </si>
  <si>
    <t xml:space="preserve">BUFFER</t>
  </si>
  <si>
    <t xml:space="preserve">Buffer di sicurezza (condiviso)</t>
  </si>
  <si>
    <t xml:space="preserve">—</t>
  </si>
  <si>
    <t xml:space="preserve">Legenda:</t>
  </si>
  <si>
    <t xml:space="preserve">Buffer</t>
  </si>
  <si>
    <t xml:space="preserve">Riepilogo effort:</t>
  </si>
  <si>
    <t xml:space="preserve">TD-02, TD-04, TD-06, TD-08, TD-11, TD-12</t>
  </si>
  <si>
    <t xml:space="preserve">10 gg</t>
  </si>
  <si>
    <t xml:space="preserve">TD-01, TD-03, TD-05, TD-07, TD-09, TD-10</t>
  </si>
  <si>
    <t xml:space="preserve">15 gg</t>
  </si>
  <si>
    <t xml:space="preserve">Giorni 13–18 (condivisi)</t>
  </si>
  <si>
    <t xml:space="preserve">6 gg</t>
  </si>
  <si>
    <t xml:space="preserve">Calendario Sprint — Servizio Gestione Licenze (correlato al foglio «Gantt»)</t>
  </si>
  <si>
    <t xml:space="preserve">Data inizio (Giorno 1 Gantt) →</t>
  </si>
  <si>
    <t xml:space="preserve">← modifica qui: tutte le date si ricalcolano (weekend esclusi). Sett.1 parte di mercoledì (mer–ven).</t>
  </si>
  <si>
    <t xml:space="preserve">Sprint</t>
  </si>
  <si>
    <t xml:space="preserve">Attività (TO DO)</t>
  </si>
  <si>
    <t xml:space="preserve">Funzionalità</t>
  </si>
  <si>
    <t xml:space="preserve">Durata (gg)</t>
  </si>
  <si>
    <t xml:space="preserve">Giorno Gantt (inizio)</t>
  </si>
  <si>
    <t xml:space="preserve">Giorno Gantt (fine)</t>
  </si>
  <si>
    <t xml:space="preserve">Data inizio</t>
  </si>
  <si>
    <t xml:space="preserve">Data fine</t>
  </si>
  <si>
    <t xml:space="preserve">Stack / Framework</t>
  </si>
  <si>
    <t xml:space="preserve">Descrizione dettagliata del lavoro</t>
  </si>
  <si>
    <t xml:space="preserve">Dipendenze</t>
  </si>
  <si>
    <t xml:space="preserve">Deliverable / Milestone</t>
  </si>
  <si>
    <t xml:space="preserve">Stato</t>
  </si>
  <si>
    <t xml:space="preserve">Sprint 1</t>
  </si>
  <si>
    <t xml:space="preserve">Node.js ≥18, Express, better-sqlite3, dotenv</t>
  </si>
  <si>
    <t xml:space="preserve">Bootstrap progetto (server.js/app.js), connessione SQLite (config/db.js), caricamento+validazione .env (config/env.js), middleware globali ed error handler con formato standard (error_code/message/timestamp/request_id), scaffolding cartelle routes/controllers/services/jobs, generazione coppia chiavi RS256.</t>
  </si>
  <si>
    <t xml:space="preserve">Server avviabile + struttura progetto</t>
  </si>
  <si>
    <t xml:space="preserve">Da iniziare</t>
  </si>
  <si>
    <t xml:space="preserve">knex (migrations &amp; seeds), sqlite3</t>
  </si>
  <si>
    <t xml:space="preserve">Migrazioni per tutte le tabelle (§4.3): vendors, vendor_general_setup, vendor_event_config, products, clients, licenses, otp_codes/otp_attempts, client_tokens, idempotency_keys, license_history, client_billing, alarm_logs, event_sent_log, api_logs, security_alerts, email_templates, client_activity_logs. Seed di email_templates IT/EN per ogni event_code.</t>
  </si>
  <si>
    <t xml:space="preserve">Schema DB completo + template seed</t>
  </si>
  <si>
    <t xml:space="preserve">Registrazione prodotti</t>
  </si>
  <si>
    <t xml:space="preserve">F6</t>
  </si>
  <si>
    <t xml:space="preserve">Express, joi/zod</t>
  </si>
  <si>
    <t xml:space="preserve">Endpoint POST /api/vendor/products protetto da JWT vendor: validazione input e salvataggio in products. Definizione modules e parametri prodotto (check_frequency_hours, TTL OTP per prodotto).</t>
  </si>
  <si>
    <t xml:space="preserve">TD-02, TD-03</t>
  </si>
  <si>
    <t xml:space="preserve">Catalogo prodotti gestibile</t>
  </si>
  <si>
    <t xml:space="preserve">Auth fornitore JWT</t>
  </si>
  <si>
    <t xml:space="preserve">F1, F2</t>
  </si>
  <si>
    <t xml:space="preserve">jsonwebtoken (RS256), bcrypt(12), express-rate-limit</t>
  </si>
  <si>
    <t xml:space="preserve">POST /api/vendor/auth/login (API key→hash bcrypt→JWT RS256 TTL 60s + refresh TTL 1h), POST /api/vendor/token/refresh con rotation, middleware authVendor.js, rate limit sul login. Predisposizione F9 (rotate-key).</t>
  </si>
  <si>
    <t xml:space="preserve">TD-01, TD-02</t>
  </si>
  <si>
    <t xml:space="preserve">Auth produttore attiva (F1/F2)</t>
  </si>
  <si>
    <t xml:space="preserve">Verifica licenza + poll messaggi</t>
  </si>
  <si>
    <t xml:space="preserve">C4, C5, C6</t>
  </si>
  <si>
    <t xml:space="preserve">jsonwebtoken, Express</t>
  </si>
  <si>
    <t xml:space="preserve">GET /api/client/license/status (C4), GET /api/client/messages (C5, aggiorna last_seen_at in client_activity_logs), POST /api/client/token/refresh (C6 rotation), middleware authClient.js (JWT + header X-License-Key).</t>
  </si>
  <si>
    <t xml:space="preserve">Funzionamento ordinario client (C4/C5/C6)</t>
  </si>
  <si>
    <t xml:space="preserve">Sprint 2</t>
  </si>
  <si>
    <t xml:space="preserve">Registrazione cliente + OTP + VIES + AES</t>
  </si>
  <si>
    <t xml:space="preserve">C1, C2, C3</t>
  </si>
  <si>
    <t xml:space="preserve">crypto (AES-256-GCM, HMAC-SHA256), axios (VIES), nodemailer, joi/zod</t>
  </si>
  <si>
    <t xml:space="preserve">C1 /register: verifica product_key, rilevamento riapertura app, stato pending, validazione VIES P.IVA (timeout+fallback vat_verified=false), invio OTP via email. C3 /resend-otp. C2 /verify-otp: hash SHA256, max 3 tentativi→lockout 30min, generazione license_key (HMAC+salt), JWT RS256, refresh, offline_token AES-256-GCM, set vendor_synced=false. Idempotente.</t>
  </si>
  <si>
    <t xml:space="preserve">TD-03, TD-02</t>
  </si>
  <si>
    <t xml:space="preserve">Registrazione cliente validata + Trial attiva</t>
  </si>
  <si>
    <t xml:space="preserve">Attivazione licenze a pagamento</t>
  </si>
  <si>
    <t xml:space="preserve">F5</t>
  </si>
  <si>
    <t xml:space="preserve">Express, middleware idempotency, better-sqlite3</t>
  </si>
  <si>
    <t xml:space="preserve">POST /api/vendor/license/activate con header Idempotency-Key (TTL 24h, tabella idempotency_keys + middleware idempotency.js). Sostituzione licenza trial/provvisoria, supporto is_provisional, scrittura in license_history.</t>
  </si>
  <si>
    <t xml:space="preserve">Licenze mensile/annuale attivabili (F5)</t>
  </si>
  <si>
    <t xml:space="preserve">handlebars, nodemailer</t>
  </si>
  <si>
    <t xml:space="preserve">template.service.js: rendering Handlebars dei messaggi da email_templates con placeholder ({company_name},{product_name},{expires_at},{days_remaining}…), multilingua IT/EN. mail.service.js: invio email via Nodemailer. Centralizza email + messaggi in-app per tutti gli event_code.</t>
  </si>
  <si>
    <t xml:space="preserve">TD-02, TD-06</t>
  </si>
  <si>
    <t xml:space="preserve">Motore messaggi email + in-app</t>
  </si>
  <si>
    <t xml:space="preserve">Sprint 3</t>
  </si>
  <si>
    <t xml:space="preserve">Sincronizzazione fornitore</t>
  </si>
  <si>
    <t xml:space="preserve">F3, F4, O1</t>
  </si>
  <si>
    <t xml:space="preserve">axios (ERP), Express</t>
  </si>
  <si>
    <t xml:space="preserve">F3 GET /api/vendor/registrations/new, F4 POST /api/vendor/registrations/confirm. Client O1 GET ALARM verso ERP (unica chiamata uscente, solo da job): retry con backoff (max 3, alarm_logs) e fallback email. Mock ERP per i test.</t>
  </si>
  <si>
    <t xml:space="preserve">TD-05, TD-03</t>
  </si>
  <si>
    <t xml:space="preserve">Sincronizzazione ERP (F3/F4/O1)</t>
  </si>
  <si>
    <t xml:space="preserve">jest, supertest, swagger-jsdoc, swagger-ui-express</t>
  </si>
  <si>
    <t xml:space="preserve">Test unit/integration/e2e con Jest + Supertest, mock ERP per O1/F3/F4. Documentazione Swagger UI su /api-docs (swagger-jsdoc + swagger-ui-express). Bugfix trasversali sui moduli consegnati.</t>
  </si>
  <si>
    <t xml:space="preserve">TD-01…TD-11</t>
  </si>
  <si>
    <t xml:space="preserve">Coverage test + API docs pubblicate</t>
  </si>
  <si>
    <t xml:space="preserve">Licenza Provvisoria, billing e revoca</t>
  </si>
  <si>
    <t xml:space="preserve">F7, F8 (+F9, F7/billing, F8/revoke)</t>
  </si>
  <si>
    <t xml:space="preserve">crypto, Express, better-sqlite3</t>
  </si>
  <si>
    <t xml:space="preserve">F7 /invoice/issued: attiva Licenza Provvisoria se scaduta/in scadenza, rigenera offline_token+key, sospende avvisi, O1 PROVISIONAL_ACTIVATED. F8 /invoice/paid: licenza definitiva, riattiva avvisi, O1 PAYMENT_CONFIRMED; caso non pagato→PROVISIONAL_EXPIRED. Inoltre F8/revoke, F7/billing e F9 (rotate-key, grace period).</t>
  </si>
  <si>
    <t xml:space="preserve">TD-08, TD-11</t>
  </si>
  <si>
    <t xml:space="preserve">Ciclo Provvisoria/billing/revoca completo</t>
  </si>
  <si>
    <t xml:space="preserve">Sprint 4</t>
  </si>
  <si>
    <t xml:space="preserve">node-cron, dayjs/date-fns</t>
  </si>
  <si>
    <t xml:space="preserve">jobs/index.js + job idempotenti (anti-duplicati via event_sent_log): expiringNotices (calendario avvisi Trial/Mensile/Annuale + O1 LICENSE_EXPIRING; sospesi se Provvisoria attiva), autoDeactivate (status→expired + O1 LICENSE_EXPIRED), newRegistration (O1 NEW_REGISTRATION post-C2), inactivity (≥7gg senza C5→CLIENT_INACTIVE), alarmRetry (retry O1 + fallback). Gestione timezone.</t>
  </si>
  <si>
    <t xml:space="preserve">TD-09, TD-11, TD-07</t>
  </si>
  <si>
    <t xml:space="preserve">Automazioni schedulate attive</t>
  </si>
  <si>
    <t xml:space="preserve">Sprint 3–4</t>
  </si>
  <si>
    <t xml:space="preserve">Buffer di sicurezza (condiviso dal team)</t>
  </si>
  <si>
    <t xml:space="preserve">Entrambi</t>
  </si>
  <si>
    <t xml:space="preserve">Stabilizzazione, azzeramento del debito tecnico, fix derivanti dai test, hardening sicurezza (HTTPS, query parametrizzate, rate limiting), validazione finale e preparazione al deploy.</t>
  </si>
  <si>
    <t xml:space="preserve">Tutte</t>
  </si>
  <si>
    <t xml:space="preserve">Release-ready / Deploy</t>
  </si>
  <si>
    <t xml:space="preserve">Sintesi Sprint — Roadmap e Milestone</t>
  </si>
  <si>
    <t xml:space="preserve">Giorni Gantt</t>
  </si>
  <si>
    <t xml:space="preserve">Periodo</t>
  </si>
  <si>
    <t xml:space="preserve">Focus / Obiettivo</t>
  </si>
  <si>
    <t xml:space="preserve">Task incluse</t>
  </si>
  <si>
    <t xml:space="preserve">Framework chiave</t>
  </si>
  <si>
    <t xml:space="preserve">Milestone</t>
  </si>
  <si>
    <t xml:space="preserve">1–5</t>
  </si>
  <si>
    <t xml:space="preserve">Sett. 1–2</t>
  </si>
  <si>
    <t xml:space="preserve">Fondazioni + modulo produttore: setup server, schema DB e seed, auth produttore (F1/F2), registrazione prodotti (F6) e basi del funzionamento client (C4/C5/C6).</t>
  </si>
  <si>
    <t xml:space="preserve">TD-01, TD-02, TD-04, TD-03, TD-06</t>
  </si>
  <si>
    <t xml:space="preserve">Node.js, Express, better-sqlite3, knex, jsonwebtoken (RS256), bcrypt</t>
  </si>
  <si>
    <t xml:space="preserve">Infrastruttura + DB + Auth produttore attivi (fine Giorno 5)</t>
  </si>
  <si>
    <t xml:space="preserve">6–9</t>
  </si>
  <si>
    <t xml:space="preserve">Sett. 2–3</t>
  </si>
  <si>
    <t xml:space="preserve">Flusso cliente completo: registrazione + OTP + VIES + cifratura offline AES (C1/C2/C3), attivazione licenze a pagamento (F5) e motore messaggi.</t>
  </si>
  <si>
    <t xml:space="preserve">TD-05, TD-08, TD-11</t>
  </si>
  <si>
    <t xml:space="preserve">crypto (AES-256-GCM/HMAC), axios (VIES), nodemailer, handlebars, idempotency</t>
  </si>
  <si>
    <t xml:space="preserve">Registrazione validata + Trial + attivazione a pagamento (fine Giorno 9)</t>
  </si>
  <si>
    <t xml:space="preserve">10–14</t>
  </si>
  <si>
    <t xml:space="preserve">Sett. 3–4</t>
  </si>
  <si>
    <t xml:space="preserve">Sincronizzazione ERP (F3/F4/O1), test+Swagger e ciclo Licenza Provvisoria/billing/revoca (F7/F8). Inizio buffer (gg 13–14).</t>
  </si>
  <si>
    <t xml:space="preserve">TD-07, TD-12, TD-09</t>
  </si>
  <si>
    <t xml:space="preserve">axios (ERP), jest, supertest, swagger, crypto</t>
  </si>
  <si>
    <t xml:space="preserve">Sync ERP + Provvisoria/Billing + API docs (fine Giorno 14)</t>
  </si>
  <si>
    <t xml:space="preserve">15–18</t>
  </si>
  <si>
    <t xml:space="preserve">Sett. 4</t>
  </si>
  <si>
    <t xml:space="preserve">Automazioni node-cron (avvisi scadenza, auto-disattivazione, inattività, retry O1) e buffer finale di stabilizzazione e rilascio.</t>
  </si>
  <si>
    <t xml:space="preserve">TD-10 + BUFFER</t>
  </si>
  <si>
    <t xml:space="preserve">Job attivi + Progetto pronto al deploy (fine Giorno 18)</t>
  </si>
  <si>
    <t xml:space="preserve">Riepilogo effort (dal Gantt)</t>
  </si>
  <si>
    <t xml:space="preserve">Buffer (condiviso)</t>
  </si>
  <si>
    <t xml:space="preserve">Giorni 13–18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</si>
</sst>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FFC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E5FA3"/>
        <bgColor rgb="FF2E75B6"/>
      </patternFill>
    </fill>
    <fill>
      <patternFill patternType="solid">
        <fgColor rgb="FFD9E1F2"/>
        <bgColor rgb="FFDDEBF7"/>
      </patternFill>
    </fill>
    <fill>
      <patternFill patternType="solid">
        <fgColor rgb="FFFFFFFF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BDD7EE"/>
        <bgColor rgb="FFD9E1F2"/>
      </patternFill>
    </fill>
    <fill>
      <patternFill patternType="solid">
        <fgColor rgb="FF2E75B6"/>
        <bgColor rgb="FF2E5FA3"/>
      </patternFill>
    </fill>
    <fill>
      <patternFill patternType="solid">
        <fgColor rgb="FFFFF2CC"/>
        <bgColor rgb="FFFCE4D6"/>
      </patternFill>
    </fill>
    <fill>
      <patternFill patternType="solid">
        <fgColor rgb="FFFFC000"/>
        <bgColor rgb="FFFF9900"/>
      </patternFill>
    </fill>
    <fill>
      <patternFill patternType="solid">
        <fgColor rgb="FF20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4B084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D9E1F2"/>
      <rgbColor rgb="FFFF99CC"/>
      <rgbColor rgb="FFCC99FF"/>
      <rgbColor rgb="FFF4B084"/>
      <rgbColor rgb="FF2E75B6"/>
      <rgbColor rgb="FF33CCCC"/>
      <rgbColor rgb="FF99CC00"/>
      <rgbColor rgb="FFFFC000"/>
      <rgbColor rgb="FFFF9900"/>
      <rgbColor rgb="FFFF6600"/>
      <rgbColor rgb="FF666666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22" min="5" style="0" width="3.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 t="s">
        <v>6</v>
      </c>
      <c r="I2" s="3"/>
      <c r="J2" s="3"/>
      <c r="K2" s="3"/>
      <c r="L2" s="3"/>
      <c r="M2" s="3" t="s">
        <v>7</v>
      </c>
      <c r="N2" s="3"/>
      <c r="O2" s="3"/>
      <c r="P2" s="3"/>
      <c r="Q2" s="3"/>
      <c r="R2" s="3" t="s">
        <v>8</v>
      </c>
      <c r="S2" s="3"/>
      <c r="T2" s="3"/>
      <c r="U2" s="3"/>
      <c r="V2" s="3"/>
    </row>
    <row r="3" customFormat="false" ht="12.75" hidden="false" customHeight="true" outlineLevel="0" collapsed="false">
      <c r="A3" s="2"/>
      <c r="B3" s="2"/>
      <c r="C3" s="2"/>
      <c r="D3" s="2"/>
      <c r="E3" s="4" t="n">
        <v>1</v>
      </c>
      <c r="F3" s="4" t="n">
        <v>2</v>
      </c>
      <c r="G3" s="4" t="n">
        <v>3</v>
      </c>
      <c r="H3" s="4" t="n">
        <v>4</v>
      </c>
      <c r="I3" s="4" t="n">
        <v>5</v>
      </c>
      <c r="J3" s="4" t="n">
        <v>6</v>
      </c>
      <c r="K3" s="4" t="n">
        <v>7</v>
      </c>
      <c r="L3" s="4" t="n">
        <v>8</v>
      </c>
      <c r="M3" s="4" t="n">
        <v>9</v>
      </c>
      <c r="N3" s="4" t="n">
        <v>10</v>
      </c>
      <c r="O3" s="4" t="n">
        <v>11</v>
      </c>
      <c r="P3" s="4" t="n">
        <v>12</v>
      </c>
      <c r="Q3" s="4" t="n">
        <v>13</v>
      </c>
      <c r="R3" s="4" t="n">
        <v>14</v>
      </c>
      <c r="S3" s="4" t="n">
        <v>15</v>
      </c>
      <c r="T3" s="4" t="n">
        <v>16</v>
      </c>
      <c r="U3" s="4" t="n">
        <v>17</v>
      </c>
      <c r="V3" s="4" t="n">
        <v>18</v>
      </c>
    </row>
    <row r="4" customFormat="false" ht="19.5" hidden="false" customHeight="true" outlineLevel="0" collapsed="false">
      <c r="A4" s="5" t="s">
        <v>9</v>
      </c>
      <c r="B4" s="6" t="s">
        <v>10</v>
      </c>
      <c r="C4" s="7" t="s">
        <v>11</v>
      </c>
      <c r="D4" s="7" t="n">
        <v>3</v>
      </c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customFormat="false" ht="19.5" hidden="false" customHeight="true" outlineLevel="0" collapsed="false">
      <c r="A5" s="10" t="s">
        <v>12</v>
      </c>
      <c r="B5" s="11" t="s">
        <v>13</v>
      </c>
      <c r="C5" s="12" t="s">
        <v>14</v>
      </c>
      <c r="D5" s="12" t="n">
        <v>2</v>
      </c>
      <c r="E5" s="13"/>
      <c r="F5" s="1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customFormat="false" ht="19.5" hidden="false" customHeight="true" outlineLevel="0" collapsed="false">
      <c r="A6" s="5" t="s">
        <v>15</v>
      </c>
      <c r="B6" s="6" t="s">
        <v>16</v>
      </c>
      <c r="C6" s="7" t="s">
        <v>11</v>
      </c>
      <c r="D6" s="7" t="n">
        <v>2</v>
      </c>
      <c r="E6" s="9"/>
      <c r="F6" s="9"/>
      <c r="G6" s="9"/>
      <c r="H6" s="8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customFormat="false" ht="19.5" hidden="false" customHeight="true" outlineLevel="0" collapsed="false">
      <c r="A7" s="10" t="s">
        <v>17</v>
      </c>
      <c r="B7" s="11" t="s">
        <v>18</v>
      </c>
      <c r="C7" s="12" t="s">
        <v>14</v>
      </c>
      <c r="D7" s="12" t="n">
        <v>1</v>
      </c>
      <c r="E7" s="9"/>
      <c r="F7" s="9"/>
      <c r="G7" s="1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customFormat="false" ht="19.5" hidden="false" customHeight="true" outlineLevel="0" collapsed="false">
      <c r="A8" s="5" t="s">
        <v>19</v>
      </c>
      <c r="B8" s="6" t="s">
        <v>20</v>
      </c>
      <c r="C8" s="7" t="s">
        <v>11</v>
      </c>
      <c r="D8" s="7" t="n">
        <v>4</v>
      </c>
      <c r="E8" s="9"/>
      <c r="F8" s="9"/>
      <c r="G8" s="9"/>
      <c r="H8" s="9"/>
      <c r="I8" s="9"/>
      <c r="J8" s="8"/>
      <c r="K8" s="8"/>
      <c r="L8" s="8"/>
      <c r="M8" s="8"/>
      <c r="N8" s="9"/>
      <c r="O8" s="9"/>
      <c r="P8" s="9"/>
      <c r="Q8" s="9"/>
      <c r="R8" s="9"/>
      <c r="S8" s="9"/>
      <c r="T8" s="9"/>
      <c r="U8" s="9"/>
      <c r="V8" s="9"/>
    </row>
    <row r="9" customFormat="false" ht="19.5" hidden="false" customHeight="true" outlineLevel="0" collapsed="false">
      <c r="A9" s="10" t="s">
        <v>21</v>
      </c>
      <c r="B9" s="11" t="s">
        <v>22</v>
      </c>
      <c r="C9" s="12" t="s">
        <v>14</v>
      </c>
      <c r="D9" s="12" t="n">
        <v>2</v>
      </c>
      <c r="E9" s="9"/>
      <c r="F9" s="9"/>
      <c r="G9" s="9"/>
      <c r="H9" s="13"/>
      <c r="I9" s="13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customFormat="false" ht="19.5" hidden="false" customHeight="true" outlineLevel="0" collapsed="false">
      <c r="A10" s="5" t="s">
        <v>23</v>
      </c>
      <c r="B10" s="6" t="s">
        <v>24</v>
      </c>
      <c r="C10" s="7" t="s">
        <v>11</v>
      </c>
      <c r="D10" s="7" t="n">
        <v>2</v>
      </c>
      <c r="E10" s="9"/>
      <c r="F10" s="9"/>
      <c r="G10" s="9"/>
      <c r="H10" s="9"/>
      <c r="I10" s="9"/>
      <c r="J10" s="9"/>
      <c r="K10" s="9"/>
      <c r="L10" s="9"/>
      <c r="M10" s="9"/>
      <c r="N10" s="8"/>
      <c r="O10" s="8"/>
      <c r="P10" s="9"/>
      <c r="Q10" s="9"/>
      <c r="R10" s="9"/>
      <c r="S10" s="9"/>
      <c r="T10" s="9"/>
      <c r="U10" s="9"/>
      <c r="V10" s="9"/>
    </row>
    <row r="11" customFormat="false" ht="19.5" hidden="false" customHeight="true" outlineLevel="0" collapsed="false">
      <c r="A11" s="10" t="s">
        <v>25</v>
      </c>
      <c r="B11" s="11" t="s">
        <v>26</v>
      </c>
      <c r="C11" s="12" t="s">
        <v>14</v>
      </c>
      <c r="D11" s="12" t="n">
        <v>2</v>
      </c>
      <c r="E11" s="9"/>
      <c r="F11" s="9"/>
      <c r="G11" s="9"/>
      <c r="H11" s="9"/>
      <c r="I11" s="9"/>
      <c r="J11" s="13"/>
      <c r="K11" s="1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customFormat="false" ht="19.5" hidden="false" customHeight="true" outlineLevel="0" collapsed="false">
      <c r="A12" s="5" t="s">
        <v>27</v>
      </c>
      <c r="B12" s="6" t="s">
        <v>28</v>
      </c>
      <c r="C12" s="7" t="s">
        <v>11</v>
      </c>
      <c r="D12" s="7" t="n">
        <v>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8"/>
      <c r="Q12" s="8"/>
      <c r="R12" s="8"/>
      <c r="S12" s="9"/>
      <c r="T12" s="9"/>
      <c r="U12" s="9"/>
      <c r="V12" s="9"/>
    </row>
    <row r="13" customFormat="false" ht="19.5" hidden="false" customHeight="true" outlineLevel="0" collapsed="false">
      <c r="A13" s="5" t="s">
        <v>29</v>
      </c>
      <c r="B13" s="6" t="s">
        <v>30</v>
      </c>
      <c r="C13" s="7" t="s">
        <v>11</v>
      </c>
      <c r="D13" s="7" t="n">
        <v>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8"/>
      <c r="T13" s="8"/>
      <c r="U13" s="8"/>
      <c r="V13" s="9"/>
    </row>
    <row r="14" customFormat="false" ht="19.5" hidden="false" customHeight="true" outlineLevel="0" collapsed="false">
      <c r="A14" s="10" t="s">
        <v>31</v>
      </c>
      <c r="B14" s="11" t="s">
        <v>32</v>
      </c>
      <c r="C14" s="12" t="s">
        <v>14</v>
      </c>
      <c r="D14" s="12" t="n">
        <v>2</v>
      </c>
      <c r="E14" s="9"/>
      <c r="F14" s="9"/>
      <c r="G14" s="9"/>
      <c r="H14" s="9"/>
      <c r="I14" s="9"/>
      <c r="J14" s="9"/>
      <c r="K14" s="9"/>
      <c r="L14" s="13"/>
      <c r="M14" s="13"/>
      <c r="N14" s="9"/>
      <c r="O14" s="9"/>
      <c r="P14" s="9"/>
      <c r="Q14" s="9"/>
      <c r="R14" s="9"/>
      <c r="S14" s="9"/>
      <c r="T14" s="9"/>
      <c r="U14" s="9"/>
      <c r="V14" s="9"/>
    </row>
    <row r="15" customFormat="false" ht="19.5" hidden="false" customHeight="true" outlineLevel="0" collapsed="false">
      <c r="A15" s="10" t="s">
        <v>33</v>
      </c>
      <c r="B15" s="11" t="s">
        <v>34</v>
      </c>
      <c r="C15" s="12" t="s">
        <v>14</v>
      </c>
      <c r="D15" s="12" t="n">
        <v>3</v>
      </c>
      <c r="E15" s="9"/>
      <c r="F15" s="9"/>
      <c r="G15" s="9"/>
      <c r="H15" s="9"/>
      <c r="I15" s="9"/>
      <c r="J15" s="9"/>
      <c r="K15" s="9"/>
      <c r="L15" s="9"/>
      <c r="M15" s="9"/>
      <c r="N15" s="13"/>
      <c r="O15" s="13"/>
      <c r="P15" s="13"/>
      <c r="Q15" s="9"/>
      <c r="R15" s="9"/>
      <c r="S15" s="9"/>
      <c r="T15" s="9"/>
      <c r="U15" s="9"/>
      <c r="V15" s="9"/>
    </row>
    <row r="16" customFormat="false" ht="19.5" hidden="false" customHeight="true" outlineLevel="0" collapsed="false">
      <c r="A16" s="14" t="s">
        <v>35</v>
      </c>
      <c r="B16" s="15" t="s">
        <v>36</v>
      </c>
      <c r="C16" s="16" t="s">
        <v>37</v>
      </c>
      <c r="D16" s="16" t="s">
        <v>37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7"/>
      <c r="R16" s="17"/>
      <c r="S16" s="17"/>
      <c r="T16" s="17"/>
      <c r="U16" s="17"/>
      <c r="V16" s="17"/>
    </row>
    <row r="18" customFormat="false" ht="15.75" hidden="false" customHeight="true" outlineLevel="0" collapsed="false">
      <c r="A18" s="18" t="s">
        <v>38</v>
      </c>
      <c r="B18" s="13"/>
      <c r="C18" s="19" t="s">
        <v>14</v>
      </c>
      <c r="D18" s="8"/>
      <c r="E18" s="19" t="s">
        <v>11</v>
      </c>
      <c r="F18" s="17"/>
      <c r="G18" s="19" t="s">
        <v>39</v>
      </c>
    </row>
    <row r="20" customFormat="false" ht="13.5" hidden="false" customHeight="true" outlineLevel="0" collapsed="false">
      <c r="A20" s="18" t="s">
        <v>40</v>
      </c>
    </row>
    <row r="21" customFormat="false" ht="13.5" hidden="false" customHeight="true" outlineLevel="0" collapsed="false">
      <c r="A21" s="20" t="s">
        <v>14</v>
      </c>
      <c r="B21" s="21" t="s">
        <v>41</v>
      </c>
      <c r="C21" s="18" t="s">
        <v>42</v>
      </c>
    </row>
    <row r="22" customFormat="false" ht="13.5" hidden="false" customHeight="true" outlineLevel="0" collapsed="false">
      <c r="A22" s="22" t="s">
        <v>11</v>
      </c>
      <c r="B22" s="21" t="s">
        <v>43</v>
      </c>
      <c r="C22" s="18" t="s">
        <v>44</v>
      </c>
    </row>
    <row r="23" customFormat="false" ht="13.5" hidden="false" customHeight="true" outlineLevel="0" collapsed="false">
      <c r="A23" s="23" t="s">
        <v>39</v>
      </c>
      <c r="B23" s="21" t="s">
        <v>45</v>
      </c>
      <c r="C23" s="18" t="s">
        <v>46</v>
      </c>
    </row>
  </sheetData>
  <mergeCells count="9">
    <mergeCell ref="A1:V1"/>
    <mergeCell ref="A2:A3"/>
    <mergeCell ref="B2:B3"/>
    <mergeCell ref="C2:C3"/>
    <mergeCell ref="D2:D3"/>
    <mergeCell ref="E2:G2"/>
    <mergeCell ref="H2:L2"/>
    <mergeCell ref="M2:Q2"/>
    <mergeCell ref="R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10" min="9" style="0" width="12"/>
    <col collapsed="false" customWidth="true" hidden="false" outlineLevel="0" max="11" min="11" style="0" width="28"/>
    <col collapsed="false" customWidth="true" hidden="false" outlineLevel="0" max="12" min="12" style="0" width="60"/>
    <col collapsed="false" customWidth="true" hidden="false" outlineLevel="0" max="13" min="13" style="0" width="14"/>
    <col collapsed="false" customWidth="true" hidden="false" outlineLevel="0" max="14" min="14" style="0" width="28"/>
    <col collapsed="false" customWidth="true" hidden="false" outlineLevel="0" max="15" min="15" style="0" width="12"/>
  </cols>
  <sheetData>
    <row r="1" customFormat="false" ht="25.5" hidden="false" customHeight="true" outlineLevel="0" collapsed="false">
      <c r="A1" s="24" t="s">
        <v>47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customFormat="false" ht="15" hidden="false" customHeight="false" outlineLevel="0" collapsed="false">
      <c r="A2" s="25" t="s">
        <v>48</v>
      </c>
      <c r="B2" s="25"/>
      <c r="C2" s="25"/>
      <c r="D2" s="26" t="n">
        <v>46183</v>
      </c>
      <c r="E2" s="27" t="s">
        <v>49</v>
      </c>
      <c r="F2" s="27"/>
      <c r="G2" s="27"/>
      <c r="H2" s="27"/>
      <c r="I2" s="27"/>
      <c r="J2" s="27"/>
      <c r="K2" s="27"/>
      <c r="L2" s="27"/>
      <c r="M2" s="27"/>
      <c r="N2" s="27"/>
      <c r="O2" s="27"/>
    </row>
    <row r="4" customFormat="false" ht="30" hidden="false" customHeight="true" outlineLevel="0" collapsed="false">
      <c r="A4" s="28" t="s">
        <v>50</v>
      </c>
      <c r="B4" s="28" t="s">
        <v>1</v>
      </c>
      <c r="C4" s="28" t="s">
        <v>51</v>
      </c>
      <c r="D4" s="28" t="s">
        <v>52</v>
      </c>
      <c r="E4" s="28" t="s">
        <v>3</v>
      </c>
      <c r="F4" s="28" t="s">
        <v>53</v>
      </c>
      <c r="G4" s="28" t="s">
        <v>54</v>
      </c>
      <c r="H4" s="28" t="s">
        <v>55</v>
      </c>
      <c r="I4" s="28" t="s">
        <v>56</v>
      </c>
      <c r="J4" s="28" t="s">
        <v>57</v>
      </c>
      <c r="K4" s="28" t="s">
        <v>58</v>
      </c>
      <c r="L4" s="28" t="s">
        <v>59</v>
      </c>
      <c r="M4" s="28" t="s">
        <v>60</v>
      </c>
      <c r="N4" s="28" t="s">
        <v>61</v>
      </c>
      <c r="O4" s="28" t="s">
        <v>62</v>
      </c>
    </row>
    <row r="5" customFormat="false" ht="57.45" hidden="false" customHeight="false" outlineLevel="0" collapsed="false">
      <c r="A5" s="29" t="s">
        <v>63</v>
      </c>
      <c r="B5" s="30" t="s">
        <v>9</v>
      </c>
      <c r="C5" s="31" t="s">
        <v>10</v>
      </c>
      <c r="D5" s="31" t="s">
        <v>37</v>
      </c>
      <c r="E5" s="32" t="str">
        <f aca="false">Gantt!C4</f>
        <v>Andrea</v>
      </c>
      <c r="F5" s="33" t="n">
        <f aca="false">Gantt!D4</f>
        <v>3</v>
      </c>
      <c r="G5" s="33" t="n">
        <v>1</v>
      </c>
      <c r="H5" s="33" t="n">
        <f aca="false">G5+F5-1</f>
        <v>3</v>
      </c>
      <c r="I5" s="34" t="n">
        <f aca="false">WORKDAY($D$2,G5-1)</f>
        <v>46183</v>
      </c>
      <c r="J5" s="34" t="n">
        <f aca="false">WORKDAY($D$2,H5-1)</f>
        <v>46185</v>
      </c>
      <c r="K5" s="31" t="s">
        <v>64</v>
      </c>
      <c r="L5" s="31" t="s">
        <v>65</v>
      </c>
      <c r="M5" s="31" t="s">
        <v>37</v>
      </c>
      <c r="N5" s="31" t="s">
        <v>66</v>
      </c>
      <c r="O5" s="31" t="s">
        <v>67</v>
      </c>
    </row>
    <row r="6" customFormat="false" ht="57.45" hidden="false" customHeight="false" outlineLevel="0" collapsed="false">
      <c r="A6" s="29" t="s">
        <v>63</v>
      </c>
      <c r="B6" s="30" t="s">
        <v>12</v>
      </c>
      <c r="C6" s="31" t="s">
        <v>13</v>
      </c>
      <c r="D6" s="31" t="s">
        <v>37</v>
      </c>
      <c r="E6" s="35" t="str">
        <f aca="false">Gantt!C5</f>
        <v>Desiree</v>
      </c>
      <c r="F6" s="33" t="n">
        <f aca="false">Gantt!D5</f>
        <v>2</v>
      </c>
      <c r="G6" s="33" t="n">
        <v>1</v>
      </c>
      <c r="H6" s="33" t="n">
        <f aca="false">G6+F6-1</f>
        <v>2</v>
      </c>
      <c r="I6" s="34" t="n">
        <f aca="false">WORKDAY($D$2,G6-1)</f>
        <v>46183</v>
      </c>
      <c r="J6" s="34" t="n">
        <f aca="false">WORKDAY($D$2,H6-1)</f>
        <v>46184</v>
      </c>
      <c r="K6" s="31" t="s">
        <v>68</v>
      </c>
      <c r="L6" s="31" t="s">
        <v>69</v>
      </c>
      <c r="M6" s="31" t="s">
        <v>9</v>
      </c>
      <c r="N6" s="31" t="s">
        <v>70</v>
      </c>
      <c r="O6" s="31" t="s">
        <v>67</v>
      </c>
    </row>
    <row r="7" customFormat="false" ht="35.05" hidden="false" customHeight="false" outlineLevel="0" collapsed="false">
      <c r="A7" s="29" t="s">
        <v>63</v>
      </c>
      <c r="B7" s="30" t="s">
        <v>17</v>
      </c>
      <c r="C7" s="31" t="s">
        <v>71</v>
      </c>
      <c r="D7" s="31" t="s">
        <v>72</v>
      </c>
      <c r="E7" s="35" t="str">
        <f aca="false">Gantt!C7</f>
        <v>Desiree</v>
      </c>
      <c r="F7" s="33" t="n">
        <f aca="false">Gantt!D7</f>
        <v>1</v>
      </c>
      <c r="G7" s="33" t="n">
        <v>3</v>
      </c>
      <c r="H7" s="33" t="n">
        <f aca="false">G7+F7-1</f>
        <v>3</v>
      </c>
      <c r="I7" s="34" t="n">
        <f aca="false">WORKDAY($D$2,G7-1)</f>
        <v>46185</v>
      </c>
      <c r="J7" s="34" t="n">
        <f aca="false">WORKDAY($D$2,H7-1)</f>
        <v>46185</v>
      </c>
      <c r="K7" s="31" t="s">
        <v>73</v>
      </c>
      <c r="L7" s="31" t="s">
        <v>74</v>
      </c>
      <c r="M7" s="31" t="s">
        <v>75</v>
      </c>
      <c r="N7" s="31" t="s">
        <v>76</v>
      </c>
      <c r="O7" s="31" t="s">
        <v>67</v>
      </c>
    </row>
    <row r="8" customFormat="false" ht="46.25" hidden="false" customHeight="false" outlineLevel="0" collapsed="false">
      <c r="A8" s="29" t="s">
        <v>63</v>
      </c>
      <c r="B8" s="30" t="s">
        <v>15</v>
      </c>
      <c r="C8" s="31" t="s">
        <v>77</v>
      </c>
      <c r="D8" s="31" t="s">
        <v>78</v>
      </c>
      <c r="E8" s="32" t="str">
        <f aca="false">Gantt!C6</f>
        <v>Andrea</v>
      </c>
      <c r="F8" s="33" t="n">
        <f aca="false">Gantt!D6</f>
        <v>2</v>
      </c>
      <c r="G8" s="33" t="n">
        <v>4</v>
      </c>
      <c r="H8" s="33" t="n">
        <f aca="false">G8+F8-1</f>
        <v>5</v>
      </c>
      <c r="I8" s="34" t="n">
        <f aca="false">WORKDAY($D$2,G8-1)</f>
        <v>46188</v>
      </c>
      <c r="J8" s="34" t="n">
        <f aca="false">WORKDAY($D$2,H8-1)</f>
        <v>46189</v>
      </c>
      <c r="K8" s="31" t="s">
        <v>79</v>
      </c>
      <c r="L8" s="31" t="s">
        <v>80</v>
      </c>
      <c r="M8" s="31" t="s">
        <v>81</v>
      </c>
      <c r="N8" s="31" t="s">
        <v>82</v>
      </c>
      <c r="O8" s="31" t="s">
        <v>67</v>
      </c>
    </row>
    <row r="9" customFormat="false" ht="46.25" hidden="false" customHeight="false" outlineLevel="0" collapsed="false">
      <c r="A9" s="29" t="s">
        <v>63</v>
      </c>
      <c r="B9" s="30" t="s">
        <v>21</v>
      </c>
      <c r="C9" s="31" t="s">
        <v>83</v>
      </c>
      <c r="D9" s="31" t="s">
        <v>84</v>
      </c>
      <c r="E9" s="35" t="str">
        <f aca="false">Gantt!C9</f>
        <v>Desiree</v>
      </c>
      <c r="F9" s="33" t="n">
        <f aca="false">Gantt!D9</f>
        <v>2</v>
      </c>
      <c r="G9" s="33" t="n">
        <v>4</v>
      </c>
      <c r="H9" s="33" t="n">
        <f aca="false">G9+F9-1</f>
        <v>5</v>
      </c>
      <c r="I9" s="34" t="n">
        <f aca="false">WORKDAY($D$2,G9-1)</f>
        <v>46188</v>
      </c>
      <c r="J9" s="34" t="n">
        <f aca="false">WORKDAY($D$2,H9-1)</f>
        <v>46189</v>
      </c>
      <c r="K9" s="31" t="s">
        <v>85</v>
      </c>
      <c r="L9" s="31" t="s">
        <v>86</v>
      </c>
      <c r="M9" s="31" t="s">
        <v>75</v>
      </c>
      <c r="N9" s="31" t="s">
        <v>87</v>
      </c>
      <c r="O9" s="31" t="s">
        <v>67</v>
      </c>
    </row>
    <row r="10" customFormat="false" ht="68.65" hidden="false" customHeight="false" outlineLevel="0" collapsed="false">
      <c r="A10" s="36" t="s">
        <v>88</v>
      </c>
      <c r="B10" s="30" t="s">
        <v>19</v>
      </c>
      <c r="C10" s="31" t="s">
        <v>89</v>
      </c>
      <c r="D10" s="31" t="s">
        <v>90</v>
      </c>
      <c r="E10" s="32" t="str">
        <f aca="false">Gantt!C8</f>
        <v>Andrea</v>
      </c>
      <c r="F10" s="33" t="n">
        <f aca="false">Gantt!D8</f>
        <v>4</v>
      </c>
      <c r="G10" s="33" t="n">
        <v>6</v>
      </c>
      <c r="H10" s="33" t="n">
        <f aca="false">G10+F10-1</f>
        <v>9</v>
      </c>
      <c r="I10" s="34" t="n">
        <f aca="false">WORKDAY($D$2,G10-1)</f>
        <v>46190</v>
      </c>
      <c r="J10" s="34" t="n">
        <f aca="false">WORKDAY($D$2,H10-1)</f>
        <v>46195</v>
      </c>
      <c r="K10" s="31" t="s">
        <v>91</v>
      </c>
      <c r="L10" s="31" t="s">
        <v>92</v>
      </c>
      <c r="M10" s="31" t="s">
        <v>93</v>
      </c>
      <c r="N10" s="31" t="s">
        <v>94</v>
      </c>
      <c r="O10" s="31" t="s">
        <v>67</v>
      </c>
    </row>
    <row r="11" customFormat="false" ht="46.25" hidden="false" customHeight="false" outlineLevel="0" collapsed="false">
      <c r="A11" s="36" t="s">
        <v>88</v>
      </c>
      <c r="B11" s="30" t="s">
        <v>25</v>
      </c>
      <c r="C11" s="31" t="s">
        <v>95</v>
      </c>
      <c r="D11" s="31" t="s">
        <v>96</v>
      </c>
      <c r="E11" s="35" t="str">
        <f aca="false">Gantt!C11</f>
        <v>Desiree</v>
      </c>
      <c r="F11" s="33" t="n">
        <f aca="false">Gantt!D11</f>
        <v>2</v>
      </c>
      <c r="G11" s="33" t="n">
        <v>6</v>
      </c>
      <c r="H11" s="33" t="n">
        <f aca="false">G11+F11-1</f>
        <v>7</v>
      </c>
      <c r="I11" s="34" t="n">
        <f aca="false">WORKDAY($D$2,G11-1)</f>
        <v>46190</v>
      </c>
      <c r="J11" s="34" t="n">
        <f aca="false">WORKDAY($D$2,H11-1)</f>
        <v>46191</v>
      </c>
      <c r="K11" s="31" t="s">
        <v>97</v>
      </c>
      <c r="L11" s="31" t="s">
        <v>98</v>
      </c>
      <c r="M11" s="31" t="s">
        <v>19</v>
      </c>
      <c r="N11" s="31" t="s">
        <v>99</v>
      </c>
      <c r="O11" s="31" t="s">
        <v>67</v>
      </c>
    </row>
    <row r="12" customFormat="false" ht="57.45" hidden="false" customHeight="false" outlineLevel="0" collapsed="false">
      <c r="A12" s="36" t="s">
        <v>88</v>
      </c>
      <c r="B12" s="30" t="s">
        <v>31</v>
      </c>
      <c r="C12" s="31" t="s">
        <v>32</v>
      </c>
      <c r="D12" s="31" t="s">
        <v>37</v>
      </c>
      <c r="E12" s="35" t="str">
        <f aca="false">Gantt!C14</f>
        <v>Desiree</v>
      </c>
      <c r="F12" s="33" t="n">
        <f aca="false">Gantt!D14</f>
        <v>2</v>
      </c>
      <c r="G12" s="33" t="n">
        <v>8</v>
      </c>
      <c r="H12" s="33" t="n">
        <f aca="false">G12+F12-1</f>
        <v>9</v>
      </c>
      <c r="I12" s="34" t="n">
        <f aca="false">WORKDAY($D$2,G12-1)</f>
        <v>46192</v>
      </c>
      <c r="J12" s="34" t="n">
        <f aca="false">WORKDAY($D$2,H12-1)</f>
        <v>46195</v>
      </c>
      <c r="K12" s="31" t="s">
        <v>100</v>
      </c>
      <c r="L12" s="31" t="s">
        <v>101</v>
      </c>
      <c r="M12" s="31" t="s">
        <v>102</v>
      </c>
      <c r="N12" s="31" t="s">
        <v>103</v>
      </c>
      <c r="O12" s="31" t="s">
        <v>67</v>
      </c>
    </row>
    <row r="13" customFormat="false" ht="46.25" hidden="false" customHeight="false" outlineLevel="0" collapsed="false">
      <c r="A13" s="37" t="s">
        <v>104</v>
      </c>
      <c r="B13" s="30" t="s">
        <v>23</v>
      </c>
      <c r="C13" s="31" t="s">
        <v>105</v>
      </c>
      <c r="D13" s="31" t="s">
        <v>106</v>
      </c>
      <c r="E13" s="32" t="str">
        <f aca="false">Gantt!C10</f>
        <v>Andrea</v>
      </c>
      <c r="F13" s="33" t="n">
        <f aca="false">Gantt!D10</f>
        <v>2</v>
      </c>
      <c r="G13" s="33" t="n">
        <v>10</v>
      </c>
      <c r="H13" s="33" t="n">
        <f aca="false">G13+F13-1</f>
        <v>11</v>
      </c>
      <c r="I13" s="34" t="n">
        <f aca="false">WORKDAY($D$2,G13-1)</f>
        <v>46196</v>
      </c>
      <c r="J13" s="34" t="n">
        <f aca="false">WORKDAY($D$2,H13-1)</f>
        <v>46197</v>
      </c>
      <c r="K13" s="31" t="s">
        <v>107</v>
      </c>
      <c r="L13" s="31" t="s">
        <v>108</v>
      </c>
      <c r="M13" s="31" t="s">
        <v>109</v>
      </c>
      <c r="N13" s="31" t="s">
        <v>110</v>
      </c>
      <c r="O13" s="31" t="s">
        <v>67</v>
      </c>
    </row>
    <row r="14" customFormat="false" ht="35.05" hidden="false" customHeight="false" outlineLevel="0" collapsed="false">
      <c r="A14" s="37" t="s">
        <v>104</v>
      </c>
      <c r="B14" s="30" t="s">
        <v>33</v>
      </c>
      <c r="C14" s="31" t="s">
        <v>34</v>
      </c>
      <c r="D14" s="31" t="s">
        <v>37</v>
      </c>
      <c r="E14" s="35" t="str">
        <f aca="false">Gantt!C15</f>
        <v>Desiree</v>
      </c>
      <c r="F14" s="33" t="n">
        <f aca="false">Gantt!D15</f>
        <v>3</v>
      </c>
      <c r="G14" s="33" t="n">
        <v>10</v>
      </c>
      <c r="H14" s="33" t="n">
        <f aca="false">G14+F14-1</f>
        <v>12</v>
      </c>
      <c r="I14" s="34" t="n">
        <f aca="false">WORKDAY($D$2,G14-1)</f>
        <v>46196</v>
      </c>
      <c r="J14" s="34" t="n">
        <f aca="false">WORKDAY($D$2,H14-1)</f>
        <v>46198</v>
      </c>
      <c r="K14" s="31" t="s">
        <v>111</v>
      </c>
      <c r="L14" s="31" t="s">
        <v>112</v>
      </c>
      <c r="M14" s="31" t="s">
        <v>113</v>
      </c>
      <c r="N14" s="31" t="s">
        <v>114</v>
      </c>
      <c r="O14" s="31" t="s">
        <v>67</v>
      </c>
    </row>
    <row r="15" customFormat="false" ht="68.65" hidden="false" customHeight="false" outlineLevel="0" collapsed="false">
      <c r="A15" s="37" t="s">
        <v>104</v>
      </c>
      <c r="B15" s="30" t="s">
        <v>27</v>
      </c>
      <c r="C15" s="31" t="s">
        <v>115</v>
      </c>
      <c r="D15" s="31" t="s">
        <v>116</v>
      </c>
      <c r="E15" s="32" t="str">
        <f aca="false">Gantt!C12</f>
        <v>Andrea</v>
      </c>
      <c r="F15" s="33" t="n">
        <f aca="false">Gantt!D12</f>
        <v>3</v>
      </c>
      <c r="G15" s="33" t="n">
        <v>12</v>
      </c>
      <c r="H15" s="33" t="n">
        <f aca="false">G15+F15-1</f>
        <v>14</v>
      </c>
      <c r="I15" s="34" t="n">
        <f aca="false">WORKDAY($D$2,G15-1)</f>
        <v>46198</v>
      </c>
      <c r="J15" s="34" t="n">
        <f aca="false">WORKDAY($D$2,H15-1)</f>
        <v>46202</v>
      </c>
      <c r="K15" s="31" t="s">
        <v>117</v>
      </c>
      <c r="L15" s="31" t="s">
        <v>118</v>
      </c>
      <c r="M15" s="31" t="s">
        <v>119</v>
      </c>
      <c r="N15" s="31" t="s">
        <v>120</v>
      </c>
      <c r="O15" s="31" t="s">
        <v>67</v>
      </c>
    </row>
    <row r="16" customFormat="false" ht="79.85" hidden="false" customHeight="false" outlineLevel="0" collapsed="false">
      <c r="A16" s="38" t="s">
        <v>121</v>
      </c>
      <c r="B16" s="30" t="s">
        <v>29</v>
      </c>
      <c r="C16" s="31" t="s">
        <v>30</v>
      </c>
      <c r="D16" s="31" t="s">
        <v>37</v>
      </c>
      <c r="E16" s="32" t="str">
        <f aca="false">Gantt!C13</f>
        <v>Andrea</v>
      </c>
      <c r="F16" s="33" t="n">
        <f aca="false">Gantt!D13</f>
        <v>3</v>
      </c>
      <c r="G16" s="33" t="n">
        <v>15</v>
      </c>
      <c r="H16" s="33" t="n">
        <f aca="false">G16+F16-1</f>
        <v>17</v>
      </c>
      <c r="I16" s="34" t="n">
        <f aca="false">WORKDAY($D$2,G16-1)</f>
        <v>46203</v>
      </c>
      <c r="J16" s="34" t="n">
        <f aca="false">WORKDAY($D$2,H16-1)</f>
        <v>46205</v>
      </c>
      <c r="K16" s="31" t="s">
        <v>122</v>
      </c>
      <c r="L16" s="31" t="s">
        <v>123</v>
      </c>
      <c r="M16" s="31" t="s">
        <v>124</v>
      </c>
      <c r="N16" s="31" t="s">
        <v>125</v>
      </c>
      <c r="O16" s="31" t="s">
        <v>67</v>
      </c>
    </row>
    <row r="17" customFormat="false" ht="35.05" hidden="false" customHeight="false" outlineLevel="0" collapsed="false">
      <c r="A17" s="39" t="s">
        <v>126</v>
      </c>
      <c r="B17" s="30" t="s">
        <v>35</v>
      </c>
      <c r="C17" s="31" t="s">
        <v>127</v>
      </c>
      <c r="D17" s="31" t="s">
        <v>37</v>
      </c>
      <c r="E17" s="40" t="s">
        <v>128</v>
      </c>
      <c r="F17" s="33" t="n">
        <v>6</v>
      </c>
      <c r="G17" s="33" t="n">
        <v>13</v>
      </c>
      <c r="H17" s="33" t="n">
        <v>18</v>
      </c>
      <c r="I17" s="34" t="n">
        <f aca="false">WORKDAY($D$2,G17-1)</f>
        <v>46199</v>
      </c>
      <c r="J17" s="34" t="n">
        <f aca="false">WORKDAY($D$2,H17-1)</f>
        <v>46206</v>
      </c>
      <c r="K17" s="31" t="s">
        <v>37</v>
      </c>
      <c r="L17" s="31" t="s">
        <v>129</v>
      </c>
      <c r="M17" s="31" t="s">
        <v>130</v>
      </c>
      <c r="N17" s="31" t="s">
        <v>131</v>
      </c>
      <c r="O17" s="31" t="s">
        <v>67</v>
      </c>
    </row>
  </sheetData>
  <mergeCells count="3">
    <mergeCell ref="A1:O1"/>
    <mergeCell ref="A2:C2"/>
    <mergeCell ref="E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41" t="s">
        <v>132</v>
      </c>
      <c r="B1" s="41"/>
      <c r="C1" s="41"/>
      <c r="D1" s="41"/>
      <c r="E1" s="41"/>
      <c r="F1" s="41"/>
      <c r="G1" s="41"/>
    </row>
    <row r="3" customFormat="false" ht="27.75" hidden="false" customHeight="true" outlineLevel="0" collapsed="false">
      <c r="A3" s="28" t="s">
        <v>50</v>
      </c>
      <c r="B3" s="28" t="s">
        <v>133</v>
      </c>
      <c r="C3" s="28" t="s">
        <v>134</v>
      </c>
      <c r="D3" s="28" t="s">
        <v>135</v>
      </c>
      <c r="E3" s="28" t="s">
        <v>136</v>
      </c>
      <c r="F3" s="28" t="s">
        <v>137</v>
      </c>
      <c r="G3" s="28" t="s">
        <v>138</v>
      </c>
    </row>
    <row r="4" customFormat="false" ht="35.05" hidden="false" customHeight="false" outlineLevel="0" collapsed="false">
      <c r="A4" s="29" t="s">
        <v>63</v>
      </c>
      <c r="B4" s="31" t="s">
        <v>139</v>
      </c>
      <c r="C4" s="31" t="s">
        <v>140</v>
      </c>
      <c r="D4" s="31" t="s">
        <v>141</v>
      </c>
      <c r="E4" s="31" t="s">
        <v>142</v>
      </c>
      <c r="F4" s="31" t="s">
        <v>143</v>
      </c>
      <c r="G4" s="31" t="s">
        <v>144</v>
      </c>
    </row>
    <row r="5" customFormat="false" ht="35.05" hidden="false" customHeight="false" outlineLevel="0" collapsed="false">
      <c r="A5" s="36" t="s">
        <v>88</v>
      </c>
      <c r="B5" s="31" t="s">
        <v>145</v>
      </c>
      <c r="C5" s="31" t="s">
        <v>146</v>
      </c>
      <c r="D5" s="31" t="s">
        <v>147</v>
      </c>
      <c r="E5" s="31" t="s">
        <v>148</v>
      </c>
      <c r="F5" s="31" t="s">
        <v>149</v>
      </c>
      <c r="G5" s="31" t="s">
        <v>150</v>
      </c>
    </row>
    <row r="6" customFormat="false" ht="35.05" hidden="false" customHeight="false" outlineLevel="0" collapsed="false">
      <c r="A6" s="37" t="s">
        <v>104</v>
      </c>
      <c r="B6" s="31" t="s">
        <v>151</v>
      </c>
      <c r="C6" s="31" t="s">
        <v>152</v>
      </c>
      <c r="D6" s="31" t="s">
        <v>153</v>
      </c>
      <c r="E6" s="31" t="s">
        <v>154</v>
      </c>
      <c r="F6" s="31" t="s">
        <v>155</v>
      </c>
      <c r="G6" s="31" t="s">
        <v>156</v>
      </c>
    </row>
    <row r="7" customFormat="false" ht="23.85" hidden="false" customHeight="false" outlineLevel="0" collapsed="false">
      <c r="A7" s="38" t="s">
        <v>121</v>
      </c>
      <c r="B7" s="31" t="s">
        <v>157</v>
      </c>
      <c r="C7" s="31" t="s">
        <v>158</v>
      </c>
      <c r="D7" s="31" t="s">
        <v>159</v>
      </c>
      <c r="E7" s="31" t="s">
        <v>160</v>
      </c>
      <c r="F7" s="31" t="s">
        <v>122</v>
      </c>
      <c r="G7" s="31" t="s">
        <v>161</v>
      </c>
    </row>
    <row r="9" customFormat="false" ht="15" hidden="false" customHeight="false" outlineLevel="0" collapsed="false">
      <c r="A9" s="42" t="s">
        <v>162</v>
      </c>
      <c r="B9" s="42"/>
      <c r="C9" s="42"/>
      <c r="D9" s="42"/>
      <c r="E9" s="42"/>
      <c r="F9" s="42"/>
      <c r="G9" s="42"/>
    </row>
    <row r="10" customFormat="false" ht="15" hidden="false" customHeight="false" outlineLevel="0" collapsed="false">
      <c r="A10" s="43" t="s">
        <v>11</v>
      </c>
      <c r="B10" s="44" t="s">
        <v>43</v>
      </c>
      <c r="C10" s="44"/>
      <c r="D10" s="44"/>
      <c r="E10" s="44"/>
      <c r="F10" s="44"/>
      <c r="G10" s="44" t="str">
        <f aca="false">Gantt!C22</f>
        <v>15 gg</v>
      </c>
    </row>
    <row r="11" customFormat="false" ht="15" hidden="false" customHeight="false" outlineLevel="0" collapsed="false">
      <c r="A11" s="45" t="s">
        <v>14</v>
      </c>
      <c r="B11" s="44" t="s">
        <v>41</v>
      </c>
      <c r="C11" s="44"/>
      <c r="D11" s="44"/>
      <c r="E11" s="44"/>
      <c r="F11" s="44"/>
      <c r="G11" s="44" t="str">
        <f aca="false">Gantt!C21</f>
        <v>10 gg</v>
      </c>
    </row>
    <row r="12" customFormat="false" ht="15" hidden="false" customHeight="false" outlineLevel="0" collapsed="false">
      <c r="A12" s="46" t="s">
        <v>163</v>
      </c>
      <c r="B12" s="44" t="s">
        <v>164</v>
      </c>
      <c r="C12" s="44"/>
      <c r="D12" s="44"/>
      <c r="E12" s="44"/>
      <c r="F12" s="44"/>
      <c r="G12" s="44" t="str">
        <f aca="false">Gantt!C23</f>
        <v>6 gg</v>
      </c>
    </row>
  </sheetData>
  <mergeCells count="5">
    <mergeCell ref="A1:G1"/>
    <mergeCell ref="A9:G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2026-06-09T15:30:41Z</dcterms:created>
  <dc:creator>openpyxl</dc:creator>
  <dc:description/>
  <dc:language>en-US</dc:language>
  <cp:lastModifiedBy/>
  <dcterms:modified xsi:type="dcterms:W3CDTF">2026-06-10T12:28:45Z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